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CP" sheetId="2" state="visible" r:id="rId2"/>
    <sheet xmlns:r="http://schemas.openxmlformats.org/officeDocument/2006/relationships" name="Target Account List" sheetId="3" state="visible" r:id="rId3"/>
    <sheet xmlns:r="http://schemas.openxmlformats.org/officeDocument/2006/relationships" name="Scoring Model" sheetId="4" state="visible" r:id="rId4"/>
    <sheet xmlns:r="http://schemas.openxmlformats.org/officeDocument/2006/relationships" name="Matrix GE-McKins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.5"/>
    </font>
    <font>
      <b val="1"/>
      <color rgb="00FFFFFF"/>
      <sz val="10.5"/>
    </font>
    <font>
      <b val="1"/>
      <sz val="13"/>
    </font>
    <font>
      <b val="1"/>
      <color rgb="00141414"/>
      <sz val="11"/>
    </font>
    <font>
      <b val="1"/>
      <sz val="10"/>
    </font>
    <font>
      <b val="1"/>
      <color rgb="00141414"/>
      <sz val="10"/>
    </font>
  </fonts>
  <fills count="6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1E1E1E"/>
      </patternFill>
    </fill>
    <fill>
      <patternFill patternType="solid">
        <fgColor rgb="002A2A2A"/>
      </patternFill>
    </fill>
    <fill>
      <patternFill patternType="solid">
        <fgColor rgb="00E8E8E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1" fillId="2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Module 2 -- ICP &amp; scoring template (English, MegaBrain Academy)</t>
        </is>
      </c>
    </row>
    <row r="2">
      <c r="A2" s="2" t="inlineStr"/>
    </row>
    <row r="3">
      <c r="A3" s="2" t="inlineStr">
        <is>
          <t>This workbook mirrors the structure used in the original in-class exercise. The "Target Account List" tab ships with 10 clearly-fictional illustrative rows (company names ending in .example, placeholder LinkedIn URLs) so you can see the intended shape of the data -- replace them with your own accounts before use.</t>
        </is>
      </c>
    </row>
    <row r="4">
      <c r="A4" s="2" t="inlineStr"/>
    </row>
    <row r="5">
      <c r="A5" s="2" t="inlineStr">
        <is>
          <t>Sheets:</t>
        </is>
      </c>
    </row>
    <row r="6">
      <c r="A6" s="2" t="inlineStr">
        <is>
          <t xml:space="preserve">  1. ICP -- the seven factor groups from Module 2, with space to define your Ideal / Acceptable / Exclude bands.</t>
        </is>
      </c>
    </row>
    <row r="7">
      <c r="A7" s="2" t="inlineStr">
        <is>
          <t xml:space="preserve">  2. Target Account List -- raw-list template (Homework 2).</t>
        </is>
      </c>
    </row>
    <row r="8">
      <c r="A8" s="2" t="inlineStr">
        <is>
          <t xml:space="preserve">  3. Scoring Model -- weighted scoring rubric template (Homework 3).</t>
        </is>
      </c>
    </row>
    <row r="9">
      <c r="A9" s="2" t="inlineStr">
        <is>
          <t xml:space="preserve">  4. Matrix GE-McKinsey -- plug your scored accounts in and the sheet places them on the 2x2 grid (Homework 4).</t>
        </is>
      </c>
    </row>
    <row r="10">
      <c r="A10" s="2" t="inlineStr"/>
    </row>
    <row r="11">
      <c r="A11" s="2" t="inlineStr">
        <is>
          <t>Privacy note: the original training material's version of this workbook contained a real client's internal contact list (real names, personal emails and phone numbers at named companies). That data is not reproduced here -- every example row in this workbook is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3" t="inlineStr">
        <is>
          <t>Factor group</t>
        </is>
      </c>
      <c r="B1" s="3" t="inlineStr">
        <is>
          <t>Criterion</t>
        </is>
      </c>
      <c r="C1" s="3" t="inlineStr">
        <is>
          <t>How to verify it</t>
        </is>
      </c>
      <c r="D1" s="3" t="inlineStr">
        <is>
          <t>Ideal</t>
        </is>
      </c>
      <c r="E1" s="3" t="inlineStr">
        <is>
          <t>Acceptable</t>
        </is>
      </c>
      <c r="F1" s="3" t="inlineStr">
        <is>
          <t>Exclude</t>
        </is>
      </c>
    </row>
    <row r="2">
      <c r="A2" s="4" t="inlineStr">
        <is>
          <t>Demographic</t>
        </is>
      </c>
      <c r="B2" s="5" t="inlineStr">
        <is>
          <t>Company size (revenue / headcount)</t>
        </is>
      </c>
      <c r="C2" s="5" t="inlineStr">
        <is>
          <t>Company database (Crunchbase, ZoomInfo); LinkedIn company page; press releases</t>
        </is>
      </c>
      <c r="D2" s="5" t="n"/>
      <c r="E2" s="5" t="n"/>
      <c r="F2" s="5" t="n"/>
    </row>
    <row r="3">
      <c r="A3" s="6" t="n"/>
      <c r="B3" s="5" t="inlineStr">
        <is>
          <t>Maximum revenue ceiling (too big to serve well)</t>
        </is>
      </c>
      <c r="C3" s="5" t="inlineStr">
        <is>
          <t>Same as above -- set your own ceiling</t>
        </is>
      </c>
      <c r="D3" s="5" t="n"/>
      <c r="E3" s="5" t="n"/>
      <c r="F3" s="5" t="n"/>
    </row>
    <row r="4">
      <c r="A4" s="6" t="n"/>
      <c r="B4" s="5" t="inlineStr">
        <is>
          <t>Growth segment: hyper-growth vs. stable</t>
        </is>
      </c>
      <c r="C4" s="5" t="inlineStr">
        <is>
          <t>Crunchbase funding history; LinkedIn headcount trend; news coverage</t>
        </is>
      </c>
      <c r="D4" s="5" t="n"/>
      <c r="E4" s="5" t="n"/>
      <c r="F4" s="5" t="n"/>
    </row>
    <row r="5">
      <c r="A5" s="6" t="n"/>
      <c r="B5" s="5" t="inlineStr">
        <is>
          <t>Industry / sub-vertical</t>
        </is>
      </c>
      <c r="C5" s="5" t="inlineStr">
        <is>
          <t>Company database category tags; site content; SIC/NAICS code lookup</t>
        </is>
      </c>
      <c r="D5" s="5" t="n"/>
      <c r="E5" s="5" t="n"/>
      <c r="F5" s="5" t="n"/>
    </row>
    <row r="6">
      <c r="A6" s="7" t="n"/>
      <c r="B6" s="5" t="inlineStr">
        <is>
          <t>HQ and branch locations</t>
        </is>
      </c>
      <c r="C6" s="5" t="inlineStr">
        <is>
          <t>Company database; Google Maps; careers page office list</t>
        </is>
      </c>
      <c r="D6" s="5" t="n"/>
      <c r="E6" s="5" t="n"/>
      <c r="F6" s="5" t="n"/>
    </row>
    <row r="7">
      <c r="A7" s="4" t="inlineStr">
        <is>
          <t>Structural</t>
        </is>
      </c>
      <c r="B7" s="5" t="inlineStr">
        <is>
          <t>Process maturity relevant to your product</t>
        </is>
      </c>
      <c r="C7" s="5" t="inlineStr">
        <is>
          <t>Case studies on their site; job postings describing current process</t>
        </is>
      </c>
      <c r="D7" s="5" t="n"/>
      <c r="E7" s="5" t="n"/>
      <c r="F7" s="5" t="n"/>
    </row>
    <row r="8">
      <c r="A8" s="6" t="n"/>
      <c r="B8" s="5" t="inlineStr">
        <is>
          <t>Independent company vs. regional subsidiary</t>
        </is>
      </c>
      <c r="C8" s="5" t="inlineStr">
        <is>
          <t>Corporate registry lookup; company database ownership field</t>
        </is>
      </c>
      <c r="D8" s="5" t="n"/>
      <c r="E8" s="5" t="n"/>
      <c r="F8" s="5" t="n"/>
    </row>
    <row r="9">
      <c r="A9" s="6" t="n"/>
      <c r="B9" s="5" t="inlineStr">
        <is>
          <t>Market leader vs. fast-follower</t>
        </is>
      </c>
      <c r="C9" s="5" t="inlineStr">
        <is>
          <t>Industry ranking sites; analyst reports; review-site category leaders</t>
        </is>
      </c>
      <c r="D9" s="5" t="n"/>
      <c r="E9" s="5" t="n"/>
      <c r="F9" s="5" t="n"/>
    </row>
    <row r="10">
      <c r="A10" s="6" t="n"/>
      <c r="B10" s="5" t="inlineStr">
        <is>
          <t>Centralized vs. decentralized decision-making</t>
        </is>
      </c>
      <c r="C10" s="5" t="inlineStr">
        <is>
          <t>Org chart / LinkedIn structure; discovery-call question</t>
        </is>
      </c>
      <c r="D10" s="5" t="n"/>
      <c r="E10" s="5" t="n"/>
      <c r="F10" s="5" t="n"/>
    </row>
    <row r="11">
      <c r="A11" s="6" t="n"/>
      <c r="B11" s="5" t="inlineStr">
        <is>
          <t>Already using a competitor's product</t>
        </is>
      </c>
      <c r="C11" s="5" t="inlineStr">
        <is>
          <t>BuiltWith / Wappalyzer (for software); case studies; job postings naming the tool</t>
        </is>
      </c>
      <c r="D11" s="5" t="n"/>
      <c r="E11" s="5" t="n"/>
      <c r="F11" s="5" t="n"/>
    </row>
    <row r="12">
      <c r="A12" s="7" t="n"/>
      <c r="B12" s="5" t="inlineStr">
        <is>
          <t>Growth by acquisition vs. organic</t>
        </is>
      </c>
      <c r="C12" s="5" t="inlineStr">
        <is>
          <t>Crunchbase acquisitions tab; press releases</t>
        </is>
      </c>
      <c r="D12" s="5" t="n"/>
      <c r="E12" s="5" t="n"/>
      <c r="F12" s="5" t="n"/>
    </row>
    <row r="13">
      <c r="A13" s="4" t="inlineStr">
        <is>
          <t>Behavioral</t>
        </is>
      </c>
      <c r="B13" s="5" t="inlineStr">
        <is>
          <t>Which department holds real budget power</t>
        </is>
      </c>
      <c r="C13" s="5" t="inlineStr">
        <is>
          <t>Org chart; discovery-call question; press releases naming budget owner</t>
        </is>
      </c>
      <c r="D13" s="5" t="n"/>
      <c r="E13" s="5" t="n"/>
      <c r="F13" s="5" t="n"/>
    </row>
    <row r="14">
      <c r="A14" s="6" t="n"/>
      <c r="B14" s="5" t="inlineStr">
        <is>
          <t>What that department is measured on (cost vs. value)</t>
        </is>
      </c>
      <c r="C14" s="5" t="inlineStr">
        <is>
          <t>Job postings for that department; earnings calls; discovery-call question</t>
        </is>
      </c>
      <c r="D14" s="5" t="n"/>
      <c r="E14" s="5" t="n"/>
      <c r="F14" s="5" t="n"/>
    </row>
    <row r="15">
      <c r="A15" s="6" t="n"/>
      <c r="B15" s="5" t="inlineStr">
        <is>
          <t>Openness to unproven / new vendors</t>
        </is>
      </c>
      <c r="C15" s="5" t="inlineStr">
        <is>
          <t>Case studies naming young vendors; procurement policy (ask on a call)</t>
        </is>
      </c>
      <c r="D15" s="5" t="n"/>
      <c r="E15" s="5" t="n"/>
      <c r="F15" s="5" t="n"/>
    </row>
    <row r="16">
      <c r="A16" s="7" t="n"/>
      <c r="B16" s="5" t="inlineStr">
        <is>
          <t>Preferred-vendor policy, if any</t>
        </is>
      </c>
      <c r="C16" s="5" t="inlineStr">
        <is>
          <t>Procurement page; RFP/tender history; discovery-call question</t>
        </is>
      </c>
      <c r="D16" s="5" t="n"/>
      <c r="E16" s="5" t="n"/>
      <c r="F16" s="5" t="n"/>
    </row>
    <row r="17">
      <c r="A17" s="4" t="inlineStr">
        <is>
          <t>Social proximity</t>
        </is>
      </c>
      <c r="B17" s="5" t="inlineStr">
        <is>
          <t>Former colleagues of yours now at the account</t>
        </is>
      </c>
      <c r="C17" s="5" t="inlineStr">
        <is>
          <t>LinkedIn alumni search on your own company page</t>
        </is>
      </c>
      <c r="D17" s="5" t="n"/>
      <c r="E17" s="5" t="n"/>
      <c r="F17" s="5" t="n"/>
    </row>
    <row r="18">
      <c r="A18" s="6" t="n"/>
      <c r="B18" s="5" t="inlineStr">
        <is>
          <t>Mutual connections who could make an introduction</t>
        </is>
      </c>
      <c r="C18" s="5" t="inlineStr">
        <is>
          <t>LinkedIn 2nd-degree connection search</t>
        </is>
      </c>
      <c r="D18" s="5" t="n"/>
      <c r="E18" s="5" t="n"/>
      <c r="F18" s="5" t="n"/>
    </row>
    <row r="19">
      <c r="A19" s="6" t="n"/>
      <c r="B19" s="5" t="inlineStr">
        <is>
          <t>Shared alumni network or professional community</t>
        </is>
      </c>
      <c r="C19" s="5" t="inlineStr">
        <is>
          <t>LinkedIn school/group filters</t>
        </is>
      </c>
      <c r="D19" s="5" t="n"/>
      <c r="E19" s="5" t="n"/>
      <c r="F19" s="5" t="n"/>
    </row>
    <row r="20">
      <c r="A20" s="7" t="n"/>
      <c r="B20" s="5" t="inlineStr">
        <is>
          <t>An internal champion already using or advocating for you</t>
        </is>
      </c>
      <c r="C20" s="5" t="inlineStr">
        <is>
          <t>CRM history; reference-request to existing customers</t>
        </is>
      </c>
      <c r="D20" s="5" t="n"/>
      <c r="E20" s="5" t="n"/>
      <c r="F20" s="5" t="n"/>
    </row>
    <row r="21">
      <c r="A21" s="4" t="inlineStr">
        <is>
          <t>Situational</t>
        </is>
      </c>
      <c r="B21" s="5" t="inlineStr">
        <is>
          <t>New leadership (CEO, CMO, CIO, etc.)</t>
        </is>
      </c>
      <c r="C21" s="5" t="inlineStr">
        <is>
          <t>Press release; LinkedIn "new position" notifications; company news page</t>
        </is>
      </c>
      <c r="D21" s="5" t="n"/>
      <c r="E21" s="5" t="n"/>
      <c r="F21" s="5" t="n"/>
    </row>
    <row r="22">
      <c r="A22" s="6" t="n"/>
      <c r="B22" s="5" t="inlineStr">
        <is>
          <t>M&amp;A or a change in ownership structure</t>
        </is>
      </c>
      <c r="C22" s="5" t="inlineStr">
        <is>
          <t>Crunchbase; press releases; SEC/regulatory filings</t>
        </is>
      </c>
      <c r="D22" s="5" t="n"/>
      <c r="E22" s="5" t="n"/>
      <c r="F22" s="5" t="n"/>
    </row>
    <row r="23">
      <c r="A23" s="6" t="n"/>
      <c r="B23" s="5" t="inlineStr">
        <is>
          <t>A funding round or major new investment</t>
        </is>
      </c>
      <c r="C23" s="5" t="inlineStr">
        <is>
          <t>Crunchbase; press releases</t>
        </is>
      </c>
      <c r="D23" s="5" t="n"/>
      <c r="E23" s="5" t="n"/>
      <c r="F23" s="5" t="n"/>
    </row>
    <row r="24">
      <c r="A24" s="6" t="n"/>
      <c r="B24" s="5" t="inlineStr">
        <is>
          <t>A hiring wave in a relevant department</t>
        </is>
      </c>
      <c r="C24" s="5" t="inlineStr">
        <is>
          <t>LinkedIn job postings; headcount-growth trend</t>
        </is>
      </c>
      <c r="D24" s="5" t="n"/>
      <c r="E24" s="5" t="n"/>
      <c r="F24" s="5" t="n"/>
    </row>
    <row r="25">
      <c r="A25" s="7" t="n"/>
      <c r="B25" s="5" t="inlineStr">
        <is>
          <t>A regulatory or compliance change affecting them</t>
        </is>
      </c>
      <c r="C25" s="5" t="inlineStr">
        <is>
          <t>Industry news; trade-association alerts</t>
        </is>
      </c>
      <c r="D25" s="5" t="n"/>
      <c r="E25" s="5" t="n"/>
      <c r="F25" s="5" t="n"/>
    </row>
    <row r="26">
      <c r="A26" s="4" t="inlineStr">
        <is>
          <t>Intent</t>
        </is>
      </c>
      <c r="B26" s="5" t="inlineStr">
        <is>
          <t>Engagement with your content (downloads, page visits)</t>
        </is>
      </c>
      <c r="C26" s="5" t="inlineStr">
        <is>
          <t>Marketing automation platform; 1st-party website analytics</t>
        </is>
      </c>
      <c r="D26" s="5" t="n"/>
      <c r="E26" s="5" t="n"/>
      <c r="F26" s="5" t="n"/>
    </row>
    <row r="27">
      <c r="A27" s="6" t="n"/>
      <c r="B27" s="5" t="inlineStr">
        <is>
          <t>Time spent engaging (call length, dwell time, email reads)</t>
        </is>
      </c>
      <c r="C27" s="5" t="inlineStr">
        <is>
          <t>CRM activity log; email-tracking tool</t>
        </is>
      </c>
      <c r="D27" s="5" t="n"/>
      <c r="E27" s="5" t="n"/>
      <c r="F27" s="5" t="n"/>
    </row>
    <row r="28">
      <c r="A28" s="6" t="n"/>
      <c r="B28" s="5" t="inlineStr">
        <is>
          <t>Topic research activity (3rd-party intent data)</t>
        </is>
      </c>
      <c r="C28" s="5" t="inlineStr">
        <is>
          <t>6sense, Bombora, or similar cooperative intent-data feed</t>
        </is>
      </c>
      <c r="D28" s="5" t="n"/>
      <c r="E28" s="5" t="n"/>
      <c r="F28" s="5" t="n"/>
    </row>
    <row r="29">
      <c r="A29" s="7" t="n"/>
      <c r="B29" s="5" t="inlineStr">
        <is>
          <t>Existing contacts for this account already in your CRM</t>
        </is>
      </c>
      <c r="C29" s="5" t="inlineStr">
        <is>
          <t>CRM account/contact report</t>
        </is>
      </c>
      <c r="D29" s="5" t="n"/>
      <c r="E29" s="5" t="n"/>
      <c r="F29" s="5" t="n"/>
    </row>
    <row r="30">
      <c r="A30" s="8" t="inlineStr">
        <is>
          <t>Disqualifying</t>
        </is>
      </c>
      <c r="B30" s="5" t="inlineStr">
        <is>
          <t>No named budget owner and no near-term plan to create one</t>
        </is>
      </c>
      <c r="C30" s="5" t="inlineStr">
        <is>
          <t>Discovery-call question; org chart</t>
        </is>
      </c>
      <c r="D30" s="5" t="n"/>
      <c r="E30" s="5" t="n"/>
      <c r="F30" s="5" t="n"/>
    </row>
    <row r="31">
      <c r="A31" s="6" t="n"/>
      <c r="B31" s="5" t="inlineStr">
        <is>
          <t>Strong build-vs-buy culture already covering this need</t>
        </is>
      </c>
      <c r="C31" s="5" t="inlineStr">
        <is>
          <t>Job postings for an internal team doing this work</t>
        </is>
      </c>
      <c r="D31" s="5" t="n"/>
      <c r="E31" s="5" t="n"/>
      <c r="F31" s="5" t="n"/>
    </row>
    <row r="32">
      <c r="A32" s="6" t="n"/>
      <c r="B32" s="5" t="inlineStr">
        <is>
          <t>Account too large for your current delivery capacity</t>
        </is>
      </c>
      <c r="C32" s="5" t="inlineStr">
        <is>
          <t>Internal capacity planning -- set your own ceiling</t>
        </is>
      </c>
      <c r="D32" s="5" t="n"/>
      <c r="E32" s="5" t="n"/>
      <c r="F32" s="5" t="n"/>
    </row>
    <row r="33">
      <c r="A33" s="7" t="n"/>
      <c r="B33" s="5" t="inlineStr">
        <is>
          <t>Locked into a competitor's multi-year contract</t>
        </is>
      </c>
      <c r="C33" s="5" t="inlineStr">
        <is>
          <t>Discovery-call question; procurement/RFP history</t>
        </is>
      </c>
      <c r="D33" s="5" t="n"/>
      <c r="E33" s="5" t="n"/>
      <c r="F33" s="5" t="n"/>
    </row>
  </sheetData>
  <mergeCells count="7">
    <mergeCell ref="A13:A16"/>
    <mergeCell ref="A21:A25"/>
    <mergeCell ref="A26:A29"/>
    <mergeCell ref="A17:A20"/>
    <mergeCell ref="A7:A12"/>
    <mergeCell ref="A2:A6"/>
    <mergeCell ref="A30:A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2" customWidth="1" min="4" max="4"/>
    <col width="26" customWidth="1" min="5" max="5"/>
    <col width="24" customWidth="1" min="6" max="6"/>
    <col width="22" customWidth="1" min="7" max="7"/>
    <col width="12" customWidth="1" min="8" max="8"/>
    <col width="16" customWidth="1" min="9" max="9"/>
    <col width="26" customWidth="1" min="10" max="10"/>
  </cols>
  <sheetData>
    <row r="1">
      <c r="A1" s="3" t="inlineStr">
        <is>
          <t>LinkedIn Profile URL</t>
        </is>
      </c>
      <c r="B1" s="3" t="inlineStr">
        <is>
          <t>Sales Navigator URL</t>
        </is>
      </c>
      <c r="C1" s="3" t="inlineStr">
        <is>
          <t>First name</t>
        </is>
      </c>
      <c r="D1" s="3" t="inlineStr">
        <is>
          <t>Last name</t>
        </is>
      </c>
      <c r="E1" s="3" t="inlineStr">
        <is>
          <t>Job title</t>
        </is>
      </c>
      <c r="F1" s="3" t="inlineStr">
        <is>
          <t>Company</t>
        </is>
      </c>
      <c r="G1" s="3" t="inlineStr">
        <is>
          <t>Industry</t>
        </is>
      </c>
      <c r="H1" s="3" t="inlineStr">
        <is>
          <t>Company Size</t>
        </is>
      </c>
      <c r="I1" s="3" t="inlineStr">
        <is>
          <t>City</t>
        </is>
      </c>
      <c r="J1" s="3" t="inlineStr">
        <is>
          <t>Website</t>
        </is>
      </c>
    </row>
    <row r="2">
      <c r="A2" s="9" t="inlineStr">
        <is>
          <t>https://linkedin.com/in/example-contact-1</t>
        </is>
      </c>
      <c r="B2" s="9" t="inlineStr">
        <is>
          <t>https://linkedin.com/sales/people/example-1</t>
        </is>
      </c>
      <c r="C2" s="9" t="inlineStr">
        <is>
          <t>Jordan</t>
        </is>
      </c>
      <c r="D2" s="9" t="inlineStr">
        <is>
          <t>Ellis</t>
        </is>
      </c>
      <c r="E2" s="9" t="inlineStr">
        <is>
          <t>Head of Marketing</t>
        </is>
      </c>
      <c r="F2" s="9" t="inlineStr">
        <is>
          <t>Northwind Robotics</t>
        </is>
      </c>
      <c r="G2" s="9" t="inlineStr">
        <is>
          <t>Industrial Machinery</t>
        </is>
      </c>
      <c r="H2" s="9" t="inlineStr">
        <is>
          <t>201-500</t>
        </is>
      </c>
      <c r="I2" s="9" t="inlineStr">
        <is>
          <t>Austin, TX</t>
        </is>
      </c>
      <c r="J2" s="9" t="inlineStr">
        <is>
          <t>https://northwindrobotics.example</t>
        </is>
      </c>
    </row>
    <row r="3">
      <c r="A3" s="9" t="inlineStr">
        <is>
          <t>https://linkedin.com/in/example-contact-2</t>
        </is>
      </c>
      <c r="B3" s="9" t="inlineStr">
        <is>
          <t>https://linkedin.com/sales/people/example-2</t>
        </is>
      </c>
      <c r="C3" s="9" t="inlineStr">
        <is>
          <t>Priya</t>
        </is>
      </c>
      <c r="D3" s="9" t="inlineStr">
        <is>
          <t>Shah</t>
        </is>
      </c>
      <c r="E3" s="9" t="inlineStr">
        <is>
          <t>VP Marketing</t>
        </is>
      </c>
      <c r="F3" s="9" t="inlineStr">
        <is>
          <t>Atlas Cloud Systems</t>
        </is>
      </c>
      <c r="G3" s="9" t="inlineStr">
        <is>
          <t>IT Services</t>
        </is>
      </c>
      <c r="H3" s="9" t="inlineStr">
        <is>
          <t>501-1000</t>
        </is>
      </c>
      <c r="I3" s="9" t="inlineStr">
        <is>
          <t>Denver, CO</t>
        </is>
      </c>
      <c r="J3" s="9" t="inlineStr">
        <is>
          <t>https://atlascloudsystems.example</t>
        </is>
      </c>
    </row>
    <row r="4">
      <c r="A4" s="9" t="inlineStr">
        <is>
          <t>https://linkedin.com/in/example-contact-3</t>
        </is>
      </c>
      <c r="B4" s="9" t="inlineStr">
        <is>
          <t>https://linkedin.com/sales/people/example-3</t>
        </is>
      </c>
      <c r="C4" s="9" t="inlineStr">
        <is>
          <t>Marcus</t>
        </is>
      </c>
      <c r="D4" s="9" t="inlineStr">
        <is>
          <t>Coleman</t>
        </is>
      </c>
      <c r="E4" s="9" t="inlineStr">
        <is>
          <t>CMO</t>
        </is>
      </c>
      <c r="F4" s="9" t="inlineStr">
        <is>
          <t>Brightfield Analytics</t>
        </is>
      </c>
      <c r="G4" s="9" t="inlineStr">
        <is>
          <t>Software Development</t>
        </is>
      </c>
      <c r="H4" s="9" t="inlineStr">
        <is>
          <t>51-200</t>
        </is>
      </c>
      <c r="I4" s="9" t="inlineStr">
        <is>
          <t>Raleigh, NC</t>
        </is>
      </c>
      <c r="J4" s="9" t="inlineStr">
        <is>
          <t>https://brightfieldanalytics.example</t>
        </is>
      </c>
    </row>
    <row r="5">
      <c r="A5" s="9" t="inlineStr">
        <is>
          <t>https://linkedin.com/in/example-contact-4</t>
        </is>
      </c>
      <c r="B5" s="9" t="inlineStr">
        <is>
          <t>https://linkedin.com/sales/people/example-4</t>
        </is>
      </c>
      <c r="C5" s="9" t="inlineStr">
        <is>
          <t>Hannah</t>
        </is>
      </c>
      <c r="D5" s="9" t="inlineStr">
        <is>
          <t>Whitfield</t>
        </is>
      </c>
      <c r="E5" s="9" t="inlineStr">
        <is>
          <t>Demand Gen Manager</t>
        </is>
      </c>
      <c r="F5" s="9" t="inlineStr">
        <is>
          <t>Coastal Logistics Group</t>
        </is>
      </c>
      <c r="G5" s="9" t="inlineStr">
        <is>
          <t>Transportation &amp; Logistics</t>
        </is>
      </c>
      <c r="H5" s="9" t="inlineStr">
        <is>
          <t>1001-5000</t>
        </is>
      </c>
      <c r="I5" s="9" t="inlineStr">
        <is>
          <t>Charleston, SC</t>
        </is>
      </c>
      <c r="J5" s="9" t="inlineStr">
        <is>
          <t>https://coastallogisticsgroup.example</t>
        </is>
      </c>
    </row>
    <row r="6">
      <c r="A6" s="9" t="inlineStr">
        <is>
          <t>https://linkedin.com/in/example-contact-5</t>
        </is>
      </c>
      <c r="B6" s="9" t="inlineStr">
        <is>
          <t>https://linkedin.com/sales/people/example-5</t>
        </is>
      </c>
      <c r="C6" s="9" t="inlineStr">
        <is>
          <t>Diego</t>
        </is>
      </c>
      <c r="D6" s="9" t="inlineStr">
        <is>
          <t>Ramirez</t>
        </is>
      </c>
      <c r="E6" s="9" t="inlineStr">
        <is>
          <t>Director of Marketing</t>
        </is>
      </c>
      <c r="F6" s="9" t="inlineStr">
        <is>
          <t>Ironpeak Manufacturing</t>
        </is>
      </c>
      <c r="G6" s="9" t="inlineStr">
        <is>
          <t>Industrial Machinery</t>
        </is>
      </c>
      <c r="H6" s="9" t="inlineStr">
        <is>
          <t>501-1000</t>
        </is>
      </c>
      <c r="I6" s="9" t="inlineStr">
        <is>
          <t>Pittsburgh, PA</t>
        </is>
      </c>
      <c r="J6" s="9" t="inlineStr">
        <is>
          <t>https://ironpeakmfg.example</t>
        </is>
      </c>
    </row>
    <row r="7">
      <c r="A7" s="9" t="inlineStr">
        <is>
          <t>https://linkedin.com/in/example-contact-6</t>
        </is>
      </c>
      <c r="B7" s="9" t="inlineStr">
        <is>
          <t>https://linkedin.com/sales/people/example-6</t>
        </is>
      </c>
      <c r="C7" s="9" t="inlineStr">
        <is>
          <t>Aisha</t>
        </is>
      </c>
      <c r="D7" s="9" t="inlineStr">
        <is>
          <t>Bennett</t>
        </is>
      </c>
      <c r="E7" s="9" t="inlineStr">
        <is>
          <t>Growth Marketing Lead</t>
        </is>
      </c>
      <c r="F7" s="9" t="inlineStr">
        <is>
          <t>Fernhill Data Systems</t>
        </is>
      </c>
      <c r="G7" s="9" t="inlineStr">
        <is>
          <t>IT Services</t>
        </is>
      </c>
      <c r="H7" s="9" t="inlineStr">
        <is>
          <t>201-500</t>
        </is>
      </c>
      <c r="I7" s="9" t="inlineStr">
        <is>
          <t>Columbus, OH</t>
        </is>
      </c>
      <c r="J7" s="9" t="inlineStr">
        <is>
          <t>https://fernhilldata.example</t>
        </is>
      </c>
    </row>
    <row r="8">
      <c r="A8" s="9" t="inlineStr">
        <is>
          <t>https://linkedin.com/in/example-contact-7</t>
        </is>
      </c>
      <c r="B8" s="9" t="inlineStr">
        <is>
          <t>https://linkedin.com/sales/people/example-7</t>
        </is>
      </c>
      <c r="C8" s="9" t="inlineStr">
        <is>
          <t>Tom</t>
        </is>
      </c>
      <c r="D8" s="9" t="inlineStr">
        <is>
          <t>Okafor</t>
        </is>
      </c>
      <c r="E8" s="9" t="inlineStr">
        <is>
          <t>VP Sales &amp; Marketing</t>
        </is>
      </c>
      <c r="F8" s="9" t="inlineStr">
        <is>
          <t>Redline Freight Partners</t>
        </is>
      </c>
      <c r="G8" s="9" t="inlineStr">
        <is>
          <t>Transportation &amp; Logistics</t>
        </is>
      </c>
      <c r="H8" s="9" t="inlineStr">
        <is>
          <t>201-500</t>
        </is>
      </c>
      <c r="I8" s="9" t="inlineStr">
        <is>
          <t>Memphis, TN</t>
        </is>
      </c>
      <c r="J8" s="9" t="inlineStr">
        <is>
          <t>https://redlinefreight.example</t>
        </is>
      </c>
    </row>
    <row r="9">
      <c r="A9" s="9" t="inlineStr">
        <is>
          <t>https://linkedin.com/in/example-contact-8</t>
        </is>
      </c>
      <c r="B9" s="9" t="inlineStr">
        <is>
          <t>https://linkedin.com/sales/people/example-8</t>
        </is>
      </c>
      <c r="C9" s="9" t="inlineStr">
        <is>
          <t>Claire</t>
        </is>
      </c>
      <c r="D9" s="9" t="inlineStr">
        <is>
          <t>Mercier</t>
        </is>
      </c>
      <c r="E9" s="9" t="inlineStr">
        <is>
          <t>Marketing Director</t>
        </is>
      </c>
      <c r="F9" s="9" t="inlineStr">
        <is>
          <t>Summit Financial Software</t>
        </is>
      </c>
      <c r="G9" s="9" t="inlineStr">
        <is>
          <t>Financial Services</t>
        </is>
      </c>
      <c r="H9" s="9" t="inlineStr">
        <is>
          <t>1001-5000</t>
        </is>
      </c>
      <c r="I9" s="9" t="inlineStr">
        <is>
          <t>Hartford, CT</t>
        </is>
      </c>
      <c r="J9" s="9" t="inlineStr">
        <is>
          <t>https://summitfinsoft.example</t>
        </is>
      </c>
    </row>
    <row r="10">
      <c r="A10" s="9" t="inlineStr">
        <is>
          <t>https://linkedin.com/in/example-contact-9</t>
        </is>
      </c>
      <c r="B10" s="9" t="inlineStr">
        <is>
          <t>https://linkedin.com/sales/people/example-9</t>
        </is>
      </c>
      <c r="C10" s="9" t="inlineStr">
        <is>
          <t>Ben</t>
        </is>
      </c>
      <c r="D10" s="9" t="inlineStr">
        <is>
          <t>Talbot</t>
        </is>
      </c>
      <c r="E10" s="9" t="inlineStr">
        <is>
          <t>Head of ABM</t>
        </is>
      </c>
      <c r="F10" s="9" t="inlineStr">
        <is>
          <t>Greenline Energy Solutions</t>
        </is>
      </c>
      <c r="G10" s="9" t="inlineStr">
        <is>
          <t>Renewables &amp; Environment</t>
        </is>
      </c>
      <c r="H10" s="9" t="inlineStr">
        <is>
          <t>501-1000</t>
        </is>
      </c>
      <c r="I10" s="9" t="inlineStr">
        <is>
          <t>Tulsa, OK</t>
        </is>
      </c>
      <c r="J10" s="9" t="inlineStr">
        <is>
          <t>https://greenlineenergy.example</t>
        </is>
      </c>
    </row>
    <row r="11">
      <c r="A11" s="9" t="inlineStr">
        <is>
          <t>https://linkedin.com/in/example-contact-10</t>
        </is>
      </c>
      <c r="B11" s="9" t="inlineStr">
        <is>
          <t>https://linkedin.com/sales/people/example-10</t>
        </is>
      </c>
      <c r="C11" s="9" t="inlineStr">
        <is>
          <t>Sara</t>
        </is>
      </c>
      <c r="D11" s="9" t="inlineStr">
        <is>
          <t>Lindqvist</t>
        </is>
      </c>
      <c r="E11" s="9" t="inlineStr">
        <is>
          <t>Marketing Manager</t>
        </is>
      </c>
      <c r="F11" s="9" t="inlineStr">
        <is>
          <t>Vantage Medical Devices</t>
        </is>
      </c>
      <c r="G11" s="9" t="inlineStr">
        <is>
          <t>Medical Devices</t>
        </is>
      </c>
      <c r="H11" s="9" t="inlineStr">
        <is>
          <t>1001-5000</t>
        </is>
      </c>
      <c r="I11" s="9" t="inlineStr">
        <is>
          <t>Minneapolis, MN</t>
        </is>
      </c>
      <c r="J11" s="9" t="inlineStr">
        <is>
          <t>https://vantagemedical.example</t>
        </is>
      </c>
    </row>
    <row r="12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</row>
    <row r="25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2.5" customWidth="1" min="2" max="2"/>
    <col width="10" customWidth="1" min="3" max="3"/>
    <col width="30" customWidth="1" min="4" max="4"/>
    <col width="2.5" customWidth="1" min="5" max="5"/>
    <col width="30" customWidth="1" min="6" max="6"/>
    <col width="2.5" customWidth="1" min="7" max="7"/>
    <col width="30" customWidth="1" min="8" max="8"/>
  </cols>
  <sheetData>
    <row r="1">
      <c r="A1" s="11" t="inlineStr">
        <is>
          <t>Factor</t>
        </is>
      </c>
      <c r="B1" s="2" t="inlineStr"/>
      <c r="C1" s="11" t="inlineStr">
        <is>
          <t>Weight</t>
        </is>
      </c>
      <c r="D1" s="11" t="inlineStr">
        <is>
          <t>1 point</t>
        </is>
      </c>
      <c r="E1" s="2" t="inlineStr"/>
      <c r="F1" s="11" t="inlineStr">
        <is>
          <t>3 points</t>
        </is>
      </c>
      <c r="G1" s="2" t="inlineStr"/>
      <c r="H1" s="11" t="inlineStr">
        <is>
          <t>5 points</t>
        </is>
      </c>
    </row>
    <row r="2">
      <c r="A2" s="12" t="inlineStr">
        <is>
          <t>Our business position</t>
        </is>
      </c>
      <c r="B2" s="12" t="inlineStr"/>
      <c r="C2" s="12" t="inlineStr">
        <is>
          <t>Weight</t>
        </is>
      </c>
      <c r="D2" s="12" t="inlineStr">
        <is>
          <t>1 point</t>
        </is>
      </c>
      <c r="E2" s="12" t="inlineStr"/>
      <c r="F2" s="12" t="inlineStr">
        <is>
          <t>3 points</t>
        </is>
      </c>
      <c r="G2" s="12" t="inlineStr"/>
      <c r="H2" s="12" t="inlineStr">
        <is>
          <t>5 points</t>
        </is>
      </c>
    </row>
    <row r="3">
      <c r="A3" s="2" t="inlineStr">
        <is>
          <t>Industry fit</t>
        </is>
      </c>
      <c r="B3" s="2" t="inlineStr"/>
      <c r="C3" s="2" t="n">
        <v>0.5</v>
      </c>
      <c r="D3" s="2" t="inlineStr">
        <is>
          <t>Commodity / raw materials</t>
        </is>
      </c>
      <c r="E3" s="2" t="inlineStr"/>
      <c r="F3" s="2" t="inlineStr">
        <is>
          <t>Capital equipment</t>
        </is>
      </c>
      <c r="G3" s="2" t="inlineStr"/>
      <c r="H3" s="2" t="inlineStr">
        <is>
          <t>Software / high-growth tech</t>
        </is>
      </c>
    </row>
    <row r="4">
      <c r="A4" s="2" t="inlineStr">
        <is>
          <t>Geography</t>
        </is>
      </c>
      <c r="B4" s="2" t="inlineStr"/>
      <c r="C4" s="2" t="n">
        <v>0.2</v>
      </c>
      <c r="D4" s="2" t="inlineStr">
        <is>
          <t>Secondary market</t>
        </is>
      </c>
      <c r="E4" s="2" t="inlineStr"/>
      <c r="F4" s="2" t="inlineStr">
        <is>
          <t>Regional hub</t>
        </is>
      </c>
      <c r="G4" s="2" t="inlineStr"/>
      <c r="H4" s="2" t="inlineStr">
        <is>
          <t>Major metro / core market</t>
        </is>
      </c>
    </row>
    <row r="5">
      <c r="A5" s="2" t="inlineStr">
        <is>
          <t>Relationship warmth</t>
        </is>
      </c>
      <c r="B5" s="2" t="inlineStr"/>
      <c r="C5" s="2" t="n">
        <v>0.3</v>
      </c>
      <c r="D5" s="2" t="inlineStr">
        <is>
          <t>No connection</t>
        </is>
      </c>
      <c r="E5" s="2" t="inlineStr"/>
      <c r="F5" s="2" t="inlineStr">
        <is>
          <t>1st/2nd-degree LinkedIn</t>
        </is>
      </c>
      <c r="G5" s="2" t="inlineStr"/>
      <c r="H5" s="2" t="inlineStr">
        <is>
          <t>Personally acquainted</t>
        </is>
      </c>
    </row>
    <row r="6">
      <c r="A6" s="12" t="inlineStr">
        <is>
          <t>Account attractiveness</t>
        </is>
      </c>
      <c r="B6" s="12" t="inlineStr"/>
      <c r="C6" s="12" t="inlineStr">
        <is>
          <t>Weight</t>
        </is>
      </c>
      <c r="D6" s="12" t="inlineStr">
        <is>
          <t>1 point</t>
        </is>
      </c>
      <c r="E6" s="12" t="inlineStr"/>
      <c r="F6" s="12" t="inlineStr">
        <is>
          <t>3 points</t>
        </is>
      </c>
      <c r="G6" s="12" t="inlineStr"/>
      <c r="H6" s="12" t="inlineStr">
        <is>
          <t>5 points</t>
        </is>
      </c>
    </row>
    <row r="7">
      <c r="A7" s="2" t="inlineStr">
        <is>
          <t>YoY revenue growth</t>
        </is>
      </c>
      <c r="B7" s="2" t="inlineStr"/>
      <c r="C7" s="2" t="n">
        <v>0.1</v>
      </c>
      <c r="D7" s="2" t="inlineStr">
        <is>
          <t>Declining</t>
        </is>
      </c>
      <c r="E7" s="2" t="inlineStr"/>
      <c r="F7" s="2" t="inlineStr">
        <is>
          <t>Up to 10%</t>
        </is>
      </c>
      <c r="G7" s="2" t="inlineStr"/>
      <c r="H7" s="2" t="inlineStr">
        <is>
          <t>Over 10%</t>
        </is>
      </c>
    </row>
    <row r="8">
      <c r="A8" s="2" t="inlineStr">
        <is>
          <t>Digital maturity (site + email)</t>
        </is>
      </c>
      <c r="B8" s="2" t="inlineStr"/>
      <c r="C8" s="2" t="n">
        <v>0.3</v>
      </c>
      <c r="D8" s="2" t="inlineStr">
        <is>
          <t>Neither in place</t>
        </is>
      </c>
      <c r="E8" s="2" t="inlineStr"/>
      <c r="F8" s="2" t="inlineStr">
        <is>
          <t>One of the two</t>
        </is>
      </c>
      <c r="G8" s="2" t="inlineStr"/>
      <c r="H8" s="2" t="inlineStr">
        <is>
          <t>Both, actively used</t>
        </is>
      </c>
    </row>
    <row r="9">
      <c r="A9" s="2" t="inlineStr">
        <is>
          <t>Agency / consultant experience</t>
        </is>
      </c>
      <c r="B9" s="2" t="inlineStr"/>
      <c r="C9" s="2" t="n">
        <v>0.3</v>
      </c>
      <c r="D9" s="2" t="inlineStr">
        <is>
          <t>Never worked with one</t>
        </is>
      </c>
      <c r="E9" s="2" t="inlineStr"/>
      <c r="F9" s="2" t="inlineStr">
        <is>
          <t>Worked with one once</t>
        </is>
      </c>
      <c r="G9" s="2" t="inlineStr"/>
      <c r="H9" s="2" t="inlineStr">
        <is>
          <t>Ongoing relationship</t>
        </is>
      </c>
    </row>
    <row r="10">
      <c r="A10" s="2" t="inlineStr">
        <is>
          <t>Staff with relevant skills on payroll</t>
        </is>
      </c>
      <c r="B10" s="2" t="inlineStr"/>
      <c r="C10" s="2" t="n">
        <v>0.3</v>
      </c>
      <c r="D10" s="2" t="inlineStr">
        <is>
          <t>None</t>
        </is>
      </c>
      <c r="E10" s="2" t="inlineStr"/>
      <c r="F10" s="2" t="inlineStr">
        <is>
          <t>One person</t>
        </is>
      </c>
      <c r="G10" s="2" t="inlineStr"/>
      <c r="H10" s="2" t="inlineStr">
        <is>
          <t>More than 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5" customWidth="1" min="4" max="4"/>
    <col width="15" customWidth="1" min="5" max="5"/>
    <col width="14" customWidth="1" min="6" max="6"/>
    <col width="11" customWidth="1" min="7" max="7"/>
    <col width="2" customWidth="1" min="8" max="8"/>
    <col width="10" customWidth="1" min="9" max="9"/>
    <col width="10" customWidth="1" min="10" max="10"/>
    <col width="12" customWidth="1" min="11" max="11"/>
    <col width="11" customWidth="1" min="12" max="12"/>
    <col width="2" customWidth="1" min="13" max="13"/>
    <col width="9" customWidth="1" min="14" max="14"/>
  </cols>
  <sheetData>
    <row r="1">
      <c r="A1" s="13" t="inlineStr">
        <is>
          <t>Company</t>
        </is>
      </c>
      <c r="B1" s="13" t="inlineStr">
        <is>
          <t>Potential ($)</t>
        </is>
      </c>
      <c r="C1" s="13" t="inlineStr">
        <is>
          <t>Attractiveness</t>
        </is>
      </c>
      <c r="I1" s="13" t="inlineStr">
        <is>
          <t>Our position</t>
        </is>
      </c>
      <c r="N1" s="13" t="inlineStr">
        <is>
          <t>Total</t>
        </is>
      </c>
    </row>
    <row r="2">
      <c r="C2" s="14" t="inlineStr">
        <is>
          <t>YoY growth</t>
        </is>
      </c>
      <c r="D2" s="14" t="inlineStr">
        <is>
          <t>Digital maturity</t>
        </is>
      </c>
      <c r="E2" s="14" t="inlineStr">
        <is>
          <t>Agency experience</t>
        </is>
      </c>
      <c r="F2" s="14" t="inlineStr">
        <is>
          <t>ABM-skilled staff</t>
        </is>
      </c>
      <c r="G2" s="14" t="inlineStr">
        <is>
          <t>Total score</t>
        </is>
      </c>
      <c r="I2" s="14" t="inlineStr">
        <is>
          <t>Industry</t>
        </is>
      </c>
      <c r="J2" s="14" t="inlineStr">
        <is>
          <t>Geography</t>
        </is>
      </c>
      <c r="K2" s="14" t="inlineStr">
        <is>
          <t>Relationship</t>
        </is>
      </c>
      <c r="L2" s="14" t="inlineStr">
        <is>
          <t>Total score</t>
        </is>
      </c>
    </row>
    <row r="3">
      <c r="C3" t="n">
        <v>0.1</v>
      </c>
      <c r="D3" t="n">
        <v>0.3</v>
      </c>
      <c r="E3" t="n">
        <v>0.3</v>
      </c>
      <c r="F3" t="n">
        <v>0.3</v>
      </c>
      <c r="I3" t="n">
        <v>0.5</v>
      </c>
      <c r="J3" t="n">
        <v>0.2</v>
      </c>
      <c r="K3" t="n">
        <v>0.3</v>
      </c>
    </row>
    <row r="4">
      <c r="A4" s="10" t="inlineStr">
        <is>
          <t>Northwind Robotics</t>
        </is>
      </c>
      <c r="B4" s="10" t="n">
        <v>60000</v>
      </c>
      <c r="C4" s="10" t="n">
        <v>5</v>
      </c>
      <c r="D4" s="10" t="n">
        <v>5</v>
      </c>
      <c r="E4" s="10" t="n">
        <v>3</v>
      </c>
      <c r="F4" s="10" t="n">
        <v>3</v>
      </c>
      <c r="G4" s="10">
        <f>C4*C$3+D4*D$3+E4*E$3+F4*F$3</f>
        <v/>
      </c>
      <c r="H4" s="10" t="n"/>
      <c r="I4" s="10" t="n">
        <v>5</v>
      </c>
      <c r="J4" s="10" t="n">
        <v>3</v>
      </c>
      <c r="K4" s="10" t="n">
        <v>3</v>
      </c>
      <c r="L4" s="10">
        <f>I4*I$3+J4*J$3+K4*K$3</f>
        <v/>
      </c>
      <c r="M4" s="10" t="n"/>
      <c r="N4" s="10">
        <f>L4+G4</f>
        <v/>
      </c>
    </row>
    <row r="5">
      <c r="A5" s="10" t="inlineStr">
        <is>
          <t>Atlas Cloud Systems</t>
        </is>
      </c>
      <c r="B5" s="10" t="n">
        <v>45000</v>
      </c>
      <c r="C5" s="10" t="n">
        <v>5</v>
      </c>
      <c r="D5" s="10" t="n">
        <v>5</v>
      </c>
      <c r="E5" s="10" t="n">
        <v>5</v>
      </c>
      <c r="F5" s="10" t="n">
        <v>5</v>
      </c>
      <c r="G5" s="10">
        <f>C5*C$3+D5*D$3+E5*E$3+F5*F$3</f>
        <v/>
      </c>
      <c r="H5" s="10" t="n"/>
      <c r="I5" s="10" t="n">
        <v>5</v>
      </c>
      <c r="J5" s="10" t="n">
        <v>5</v>
      </c>
      <c r="K5" s="10" t="n">
        <v>3</v>
      </c>
      <c r="L5" s="10">
        <f>I5*I$3+J5*J$3+K5*K$3</f>
        <v/>
      </c>
      <c r="M5" s="10" t="n"/>
      <c r="N5" s="10">
        <f>L5+G5</f>
        <v/>
      </c>
    </row>
    <row r="6">
      <c r="A6" s="10" t="inlineStr">
        <is>
          <t>Brightfield Analytics</t>
        </is>
      </c>
      <c r="B6" s="10" t="n">
        <v>20000</v>
      </c>
      <c r="C6" s="10" t="n">
        <v>3</v>
      </c>
      <c r="D6" s="10" t="n">
        <v>5</v>
      </c>
      <c r="E6" s="10" t="n">
        <v>3</v>
      </c>
      <c r="F6" s="10" t="n">
        <v>3</v>
      </c>
      <c r="G6" s="10">
        <f>C6*C$3+D6*D$3+E6*E$3+F6*F$3</f>
        <v/>
      </c>
      <c r="H6" s="10" t="n"/>
      <c r="I6" s="10" t="n">
        <v>5</v>
      </c>
      <c r="J6" s="10" t="n">
        <v>5</v>
      </c>
      <c r="K6" s="10" t="n">
        <v>5</v>
      </c>
      <c r="L6" s="10">
        <f>I6*I$3+J6*J$3+K6*K$3</f>
        <v/>
      </c>
      <c r="M6" s="10" t="n"/>
      <c r="N6" s="10">
        <f>L6+G6</f>
        <v/>
      </c>
    </row>
    <row r="7">
      <c r="A7" s="10" t="inlineStr">
        <is>
          <t>Coastal Logistics Group</t>
        </is>
      </c>
      <c r="B7" s="10" t="n">
        <v>15000</v>
      </c>
      <c r="C7" s="10" t="n">
        <v>1</v>
      </c>
      <c r="D7" s="10" t="n">
        <v>3</v>
      </c>
      <c r="E7" s="10" t="n">
        <v>1</v>
      </c>
      <c r="F7" s="10" t="n">
        <v>1</v>
      </c>
      <c r="G7" s="10">
        <f>C7*C$3+D7*D$3+E7*E$3+F7*F$3</f>
        <v/>
      </c>
      <c r="H7" s="10" t="n"/>
      <c r="I7" s="10" t="n">
        <v>3</v>
      </c>
      <c r="J7" s="10" t="n">
        <v>3</v>
      </c>
      <c r="K7" s="10" t="n">
        <v>1</v>
      </c>
      <c r="L7" s="10">
        <f>I7*I$3+J7*J$3+K7*K$3</f>
        <v/>
      </c>
      <c r="M7" s="10" t="n"/>
      <c r="N7" s="10">
        <f>L7+G7</f>
        <v/>
      </c>
    </row>
    <row r="8">
      <c r="A8" s="10" t="inlineStr">
        <is>
          <t>Ironpeak Manufacturing</t>
        </is>
      </c>
      <c r="B8" s="10" t="n">
        <v>10000</v>
      </c>
      <c r="C8" s="10" t="n">
        <v>3</v>
      </c>
      <c r="D8" s="10" t="n">
        <v>1</v>
      </c>
      <c r="E8" s="10" t="n">
        <v>1</v>
      </c>
      <c r="F8" s="10" t="n">
        <v>1</v>
      </c>
      <c r="G8" s="10">
        <f>C8*C$3+D8*D$3+E8*E$3+F8*F$3</f>
        <v/>
      </c>
      <c r="H8" s="10" t="n"/>
      <c r="I8" s="10" t="n">
        <v>1</v>
      </c>
      <c r="J8" s="10" t="n">
        <v>3</v>
      </c>
      <c r="K8" s="10" t="n">
        <v>1</v>
      </c>
      <c r="L8" s="10">
        <f>I8*I$3+J8*J$3+K8*K$3</f>
        <v/>
      </c>
      <c r="M8" s="10" t="n"/>
      <c r="N8" s="10">
        <f>L8+G8</f>
        <v/>
      </c>
    </row>
    <row r="9">
      <c r="A9" s="10" t="inlineStr">
        <is>
          <t>Fernhill Data Systems</t>
        </is>
      </c>
      <c r="B9" s="10" t="n">
        <v>30000</v>
      </c>
      <c r="C9" s="10" t="n">
        <v>5</v>
      </c>
      <c r="D9" s="10" t="n">
        <v>5</v>
      </c>
      <c r="E9" s="10" t="n">
        <v>3</v>
      </c>
      <c r="F9" s="10" t="n">
        <v>5</v>
      </c>
      <c r="G9" s="10">
        <f>C9*C$3+D9*D$3+E9*E$3+F9*F$3</f>
        <v/>
      </c>
      <c r="H9" s="10" t="n"/>
      <c r="I9" s="10" t="n">
        <v>5</v>
      </c>
      <c r="J9" s="10" t="n">
        <v>3</v>
      </c>
      <c r="K9" s="10" t="n">
        <v>5</v>
      </c>
      <c r="L9" s="10">
        <f>I9*I$3+J9*J$3+K9*K$3</f>
        <v/>
      </c>
      <c r="M9" s="10" t="n"/>
      <c r="N9" s="10">
        <f>L9+G9</f>
        <v/>
      </c>
    </row>
    <row r="10">
      <c r="A10" s="10" t="inlineStr">
        <is>
          <t>Redline Freight Partners</t>
        </is>
      </c>
      <c r="B10" s="10" t="n">
        <v>8000</v>
      </c>
      <c r="C10" s="10" t="n">
        <v>1</v>
      </c>
      <c r="D10" s="10" t="n">
        <v>1</v>
      </c>
      <c r="E10" s="10" t="n">
        <v>1</v>
      </c>
      <c r="F10" s="10" t="n">
        <v>1</v>
      </c>
      <c r="G10" s="10">
        <f>C10*C$3+D10*D$3+E10*E$3+F10*F$3</f>
        <v/>
      </c>
      <c r="H10" s="10" t="n"/>
      <c r="I10" s="10" t="n">
        <v>1</v>
      </c>
      <c r="J10" s="10" t="n">
        <v>1</v>
      </c>
      <c r="K10" s="10" t="n">
        <v>1</v>
      </c>
      <c r="L10" s="10">
        <f>I10*I$3+J10*J$3+K10*K$3</f>
        <v/>
      </c>
      <c r="M10" s="10" t="n"/>
      <c r="N10" s="10">
        <f>L10+G10</f>
        <v/>
      </c>
    </row>
    <row r="11">
      <c r="A11" s="10" t="inlineStr">
        <is>
          <t>Summit Financial Software</t>
        </is>
      </c>
      <c r="B11" s="10" t="n">
        <v>55000</v>
      </c>
      <c r="C11" s="10" t="n">
        <v>3</v>
      </c>
      <c r="D11" s="10" t="n">
        <v>3</v>
      </c>
      <c r="E11" s="10" t="n">
        <v>5</v>
      </c>
      <c r="F11" s="10" t="n">
        <v>5</v>
      </c>
      <c r="G11" s="10">
        <f>C11*C$3+D11*D$3+E11*E$3+F11*F$3</f>
        <v/>
      </c>
      <c r="H11" s="10" t="n"/>
      <c r="I11" s="10" t="n">
        <v>5</v>
      </c>
      <c r="J11" s="10" t="n">
        <v>5</v>
      </c>
      <c r="K11" s="10" t="n">
        <v>5</v>
      </c>
      <c r="L11" s="10">
        <f>I11*I$3+J11*J$3+K11*K$3</f>
        <v/>
      </c>
      <c r="M11" s="10" t="n"/>
      <c r="N11" s="10">
        <f>L11+G11</f>
        <v/>
      </c>
    </row>
    <row r="12">
      <c r="A12" s="10" t="inlineStr">
        <is>
          <t>Greenline Energy Solutions</t>
        </is>
      </c>
      <c r="B12" s="10" t="n">
        <v>25000</v>
      </c>
      <c r="C12" s="10" t="n">
        <v>5</v>
      </c>
      <c r="D12" s="10" t="n">
        <v>3</v>
      </c>
      <c r="E12" s="10" t="n">
        <v>3</v>
      </c>
      <c r="F12" s="10" t="n">
        <v>3</v>
      </c>
      <c r="G12" s="10">
        <f>C12*C$3+D12*D$3+E12*E$3+F12*F$3</f>
        <v/>
      </c>
      <c r="H12" s="10" t="n"/>
      <c r="I12" s="10" t="n">
        <v>3</v>
      </c>
      <c r="J12" s="10" t="n">
        <v>3</v>
      </c>
      <c r="K12" s="10" t="n">
        <v>3</v>
      </c>
      <c r="L12" s="10">
        <f>I12*I$3+J12*J$3+K12*K$3</f>
        <v/>
      </c>
      <c r="M12" s="10" t="n"/>
      <c r="N12" s="10">
        <f>L12+G12</f>
        <v/>
      </c>
    </row>
    <row r="13">
      <c r="A13" s="10" t="inlineStr">
        <is>
          <t>Vantage Medical Devices</t>
        </is>
      </c>
      <c r="B13" s="10" t="n">
        <v>40000</v>
      </c>
      <c r="C13" s="10" t="n">
        <v>3</v>
      </c>
      <c r="D13" s="10" t="n">
        <v>5</v>
      </c>
      <c r="E13" s="10" t="n">
        <v>5</v>
      </c>
      <c r="F13" s="10" t="n">
        <v>3</v>
      </c>
      <c r="G13" s="10">
        <f>C13*C$3+D13*D$3+E13*E$3+F13*F$3</f>
        <v/>
      </c>
      <c r="H13" s="10" t="n"/>
      <c r="I13" s="10" t="n">
        <v>5</v>
      </c>
      <c r="J13" s="10" t="n">
        <v>5</v>
      </c>
      <c r="K13" s="10" t="n">
        <v>3</v>
      </c>
      <c r="L13" s="10">
        <f>I13*I$3+J13*J$3+K13*K$3</f>
        <v/>
      </c>
      <c r="M13" s="10" t="n"/>
      <c r="N13" s="10">
        <f>L13+G13</f>
        <v/>
      </c>
    </row>
  </sheetData>
  <mergeCells count="5">
    <mergeCell ref="I1:L1"/>
    <mergeCell ref="C1:G1"/>
    <mergeCell ref="B1:B2"/>
    <mergeCell ref="N1:N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2026-07-22T16:52:52Z</dcterms:created>
  <dcterms:modified xmlns:dcterms="http://purl.org/dc/terms/" xmlns:xsi="http://www.w3.org/2001/XMLSchema-instance" xsi:type="dcterms:W3CDTF">2026-07-22T16:52:52Z</dcterms:modified>
</cp:coreProperties>
</file>