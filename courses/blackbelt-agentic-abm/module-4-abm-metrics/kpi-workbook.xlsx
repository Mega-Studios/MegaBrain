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[$$-409]* #,##0_ ;_-[$$-409]* \-#,##0\ ;_-[$$-409]* &quot;-&quot;_ ;_-@_ 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D8D8D8"/>
      <sz val="10.5"/>
    </font>
    <font>
      <name val="Calibri"/>
      <b val="1"/>
      <color rgb="00141414"/>
      <sz val="12"/>
    </font>
    <font>
      <name val="Calibri"/>
      <sz val="11"/>
    </font>
    <font>
      <name val="Calibri"/>
      <b val="1"/>
      <color rgb="006B6B6B"/>
      <sz val="10.5"/>
    </font>
    <font>
      <name val="Calibri"/>
      <b val="1"/>
      <sz val="11"/>
    </font>
    <font>
      <i val="1"/>
      <color rgb="009A9A9A"/>
      <sz val="9"/>
    </font>
  </fonts>
  <fills count="7">
    <fill>
      <patternFill/>
    </fill>
    <fill>
      <patternFill patternType="gray125"/>
    </fill>
    <fill>
      <patternFill patternType="solid">
        <fgColor rgb="00141414"/>
      </patternFill>
    </fill>
    <fill>
      <patternFill patternType="solid">
        <fgColor rgb="00FFF9E6"/>
      </patternFill>
    </fill>
    <fill>
      <patternFill patternType="solid">
        <fgColor rgb="00E8E8E8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3" borderId="1" applyAlignment="1" pivotButton="0" quotePrefix="0" xfId="0">
      <alignment horizontal="center"/>
    </xf>
    <xf numFmtId="164" fontId="0" fillId="3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horizontal="center"/>
    </xf>
    <xf numFmtId="0" fontId="3" fillId="5" borderId="0" pivotButton="0" quotePrefix="0" xfId="0"/>
    <xf numFmtId="0" fontId="0" fillId="5" borderId="0" pivotButton="0" quotePrefix="0" xfId="0"/>
    <xf numFmtId="9" fontId="0" fillId="3" borderId="1" applyAlignment="1" pivotButton="0" quotePrefix="0" xfId="0">
      <alignment horizontal="center"/>
    </xf>
    <xf numFmtId="9" fontId="0" fillId="6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0" fontId="6" fillId="0" borderId="0" pivotButton="0" quotePrefix="0" xfId="0"/>
    <xf numFmtId="0" fontId="6" fillId="5" borderId="1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47"/>
  <sheetViews>
    <sheetView showGridLines="0" workbookViewId="0">
      <pane xSplit="2" ySplit="14" topLeftCell="C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  <col width="2.5" customWidth="1" min="7" max="7"/>
  </cols>
  <sheetData>
    <row r="2" ht="26" customHeight="1">
      <c r="B2" s="1" t="inlineStr">
        <is>
          <t>MegaBrain Academy — ABM KPI Workbook</t>
        </is>
      </c>
      <c r="C2" s="2" t="n"/>
      <c r="D2" s="2" t="n"/>
      <c r="E2" s="2" t="n"/>
      <c r="F2" s="2" t="n"/>
    </row>
    <row r="3" ht="20" customHeight="1">
      <c r="B3" s="3" t="inlineStr">
        <is>
          <t>Module 4 — ABM Metrics  ·  fill in the pale-yellow cells with your own program's numbers</t>
        </is>
      </c>
      <c r="C3" s="2" t="n"/>
      <c r="D3" s="2" t="n"/>
      <c r="E3" s="2" t="n"/>
      <c r="F3" s="2" t="n"/>
    </row>
    <row r="5">
      <c r="B5" s="4" t="inlineStr">
        <is>
          <t>Program setup</t>
        </is>
      </c>
    </row>
    <row r="6">
      <c r="B6" s="5" t="inlineStr">
        <is>
          <t>ABM tier (Strategic 1:1 / ABM Lite (cluster) / Programmatic)</t>
        </is>
      </c>
      <c r="C6" s="6" t="inlineStr">
        <is>
          <t>Strategic 1:1</t>
        </is>
      </c>
    </row>
    <row r="7">
      <c r="B7" s="5" t="inlineStr">
        <is>
          <t>Number of target accounts in this program</t>
        </is>
      </c>
      <c r="C7" s="6" t="n">
        <v>8</v>
      </c>
    </row>
    <row r="8">
      <c r="B8" s="5" t="inlineStr">
        <is>
          <t>Sales reps assigned</t>
        </is>
      </c>
      <c r="C8" s="6" t="n">
        <v>2</v>
      </c>
    </row>
    <row r="9">
      <c r="B9" s="5" t="inlineStr">
        <is>
          <t>Marketing staff assigned</t>
        </is>
      </c>
      <c r="C9" s="6" t="n">
        <v>1</v>
      </c>
    </row>
    <row r="10">
      <c r="B10" s="5" t="inlineStr">
        <is>
          <t>Staff from other departments assigned</t>
        </is>
      </c>
      <c r="C10" s="6" t="n">
        <v>2</v>
      </c>
    </row>
    <row r="12">
      <c r="B12" s="5" t="inlineStr">
        <is>
          <t>Assumption: average deal size ($, illustrative — replace with your own)</t>
        </is>
      </c>
      <c r="C12" s="7" t="n">
        <v>80000</v>
      </c>
    </row>
    <row r="14">
      <c r="B14" s="8" t="inlineStr">
        <is>
          <t>Metric</t>
        </is>
      </c>
      <c r="C14" s="9" t="inlineStr">
        <is>
          <t>Now</t>
        </is>
      </c>
      <c r="D14" s="9" t="inlineStr">
        <is>
          <t>+3 months</t>
        </is>
      </c>
      <c r="E14" s="9" t="inlineStr">
        <is>
          <t>+6 months</t>
        </is>
      </c>
      <c r="F14" s="9" t="inlineStr">
        <is>
          <t>+12 months</t>
        </is>
      </c>
    </row>
    <row r="16">
      <c r="B16" s="10" t="inlineStr">
        <is>
          <t>Coverage &amp; engagement</t>
        </is>
      </c>
      <c r="C16" s="11" t="n"/>
      <c r="D16" s="11" t="n"/>
      <c r="E16" s="11" t="n"/>
      <c r="F16" s="11" t="n"/>
    </row>
    <row r="17">
      <c r="B17" s="5" t="inlineStr">
        <is>
          <t>Contacts in database with a valid email</t>
        </is>
      </c>
      <c r="C17" s="6" t="n">
        <v>10</v>
      </c>
      <c r="D17" s="6" t="n">
        <v>20</v>
      </c>
      <c r="E17" s="6" t="n">
        <v>25</v>
      </c>
      <c r="F17" s="6" t="n">
        <v>30</v>
      </c>
    </row>
    <row r="18">
      <c r="B18" s="5" t="inlineStr">
        <is>
          <t>Engaged contacts (responded, attended, or downloaded)</t>
        </is>
      </c>
      <c r="C18" s="6" t="n">
        <v>3</v>
      </c>
      <c r="D18" s="6" t="n">
        <v>10</v>
      </c>
      <c r="E18" s="6" t="n">
        <v>13</v>
      </c>
      <c r="F18" s="6" t="n">
        <v>15</v>
      </c>
    </row>
    <row r="19">
      <c r="B19" s="5" t="inlineStr">
        <is>
          <t>Engaged directors / VPs (across all target accounts)</t>
        </is>
      </c>
      <c r="C19" s="6" t="n">
        <v>0</v>
      </c>
      <c r="D19" s="6" t="n">
        <v>8</v>
      </c>
      <c r="E19" s="6" t="n">
        <v>24</v>
      </c>
      <c r="F19" s="6" t="n">
        <v>32</v>
      </c>
    </row>
    <row r="20">
      <c r="B20" s="5" t="inlineStr">
        <is>
          <t>Thought-leadership content views / opt-ins</t>
        </is>
      </c>
      <c r="C20" s="6" t="n">
        <v>0</v>
      </c>
      <c r="D20" s="6" t="n">
        <v>16</v>
      </c>
      <c r="E20" s="6" t="n">
        <v>32</v>
      </c>
      <c r="F20" s="6" t="n">
        <v>60</v>
      </c>
    </row>
    <row r="21">
      <c r="B21" s="5" t="inlineStr">
        <is>
          <t>Substantive meetings or presentations held</t>
        </is>
      </c>
      <c r="C21" s="6" t="n">
        <v>0</v>
      </c>
      <c r="D21" s="6" t="n">
        <v>10</v>
      </c>
      <c r="E21" s="6" t="n">
        <v>30</v>
      </c>
      <c r="F21" s="6" t="n">
        <v>60</v>
      </c>
    </row>
    <row r="22">
      <c r="B22" s="5" t="inlineStr">
        <is>
          <t>Director-level (or above) meetings held</t>
        </is>
      </c>
      <c r="C22" s="6" t="n">
        <v>0</v>
      </c>
      <c r="D22" s="6" t="n">
        <v>4</v>
      </c>
      <c r="E22" s="6" t="n">
        <v>10</v>
      </c>
      <c r="F22" s="6" t="n">
        <v>40</v>
      </c>
    </row>
    <row r="24">
      <c r="B24" s="10" t="inlineStr">
        <is>
          <t>Reputation</t>
        </is>
      </c>
      <c r="C24" s="11" t="n"/>
      <c r="D24" s="11" t="n"/>
      <c r="E24" s="11" t="n"/>
      <c r="F24" s="11" t="n"/>
    </row>
    <row r="25">
      <c r="B25" s="5" t="inlineStr">
        <is>
          <t>Brand perception trend (qualitative or NPS delta)</t>
        </is>
      </c>
      <c r="C25" s="6" t="inlineStr">
        <is>
          <t>unknown</t>
        </is>
      </c>
      <c r="D25" s="6" t="inlineStr">
        <is>
          <t>-2</t>
        </is>
      </c>
      <c r="E25" s="6" t="inlineStr">
        <is>
          <t>+1</t>
        </is>
      </c>
      <c r="F25" s="6" t="inlineStr">
        <is>
          <t>+2.5</t>
        </is>
      </c>
    </row>
    <row r="27">
      <c r="B27" s="10" t="inlineStr">
        <is>
          <t>Revenue — the waterfall funnel</t>
        </is>
      </c>
      <c r="C27" s="11" t="n"/>
      <c r="D27" s="11" t="n"/>
      <c r="E27" s="11" t="n"/>
      <c r="F27" s="11" t="n"/>
    </row>
    <row r="28">
      <c r="B28" s="5" t="inlineStr">
        <is>
          <t>Deals logged in CRM (count)</t>
        </is>
      </c>
      <c r="C28" s="6" t="n"/>
      <c r="D28" s="6" t="n">
        <v>1</v>
      </c>
      <c r="E28" s="6" t="n">
        <v>3</v>
      </c>
      <c r="F28" s="6" t="n">
        <v>6</v>
      </c>
    </row>
    <row r="29">
      <c r="B29" s="5" t="inlineStr">
        <is>
          <t>Share of target accounts with a deal in the pipeline</t>
        </is>
      </c>
      <c r="C29" s="12" t="n"/>
      <c r="D29" s="13">
        <f>D28/C7</f>
        <v/>
      </c>
      <c r="E29" s="13">
        <f>E28/C7</f>
        <v/>
      </c>
      <c r="F29" s="13">
        <f>F28/C7</f>
        <v/>
      </c>
    </row>
    <row r="30">
      <c r="B30" s="5" t="inlineStr">
        <is>
          <t>Pipeline value in CRM ($)</t>
        </is>
      </c>
      <c r="C30" s="14" t="n"/>
      <c r="D30" s="15">
        <f>D28*C12</f>
        <v/>
      </c>
      <c r="E30" s="15">
        <f>E28*C12</f>
        <v/>
      </c>
      <c r="F30" s="15">
        <f>F28*C12</f>
        <v/>
      </c>
    </row>
    <row r="32">
      <c r="B32" s="5" t="inlineStr">
        <is>
          <t>Average deal length (days)</t>
        </is>
      </c>
      <c r="C32" s="6" t="n"/>
      <c r="D32" s="6" t="n"/>
      <c r="E32" s="6" t="n"/>
      <c r="F32" s="6" t="n"/>
    </row>
    <row r="33">
      <c r="B33" s="5" t="inlineStr">
        <is>
          <t>New contracts signed (count)</t>
        </is>
      </c>
      <c r="C33" s="6" t="n"/>
      <c r="D33" s="6" t="n"/>
      <c r="E33" s="6" t="n">
        <v>1</v>
      </c>
      <c r="F33" s="6" t="n">
        <v>3</v>
      </c>
    </row>
    <row r="34">
      <c r="B34" s="5" t="inlineStr">
        <is>
          <t>Signed contract value — expected annual revenue ($)</t>
        </is>
      </c>
      <c r="C34" s="14" t="n"/>
      <c r="D34" s="14" t="n"/>
      <c r="E34" s="15">
        <f>E33*C12</f>
        <v/>
      </c>
      <c r="F34" s="15">
        <f>F33*C12</f>
        <v/>
      </c>
    </row>
    <row r="35">
      <c r="B35" s="5" t="inlineStr">
        <is>
          <t>Deal-to-contract conversion rate</t>
        </is>
      </c>
      <c r="C35" s="12" t="n"/>
      <c r="D35" s="12" t="n"/>
      <c r="E35" s="12" t="n"/>
      <c r="F35" s="13">
        <f>F33/F28</f>
        <v/>
      </c>
    </row>
    <row r="38">
      <c r="B38" s="4" t="inlineStr">
        <is>
          <t>Waterfall funnel by tier (optional detail — see Module 4 notes for the worked example)</t>
        </is>
      </c>
    </row>
    <row r="39">
      <c r="B39" s="8" t="inlineStr">
        <is>
          <t>Pipeline stage</t>
        </is>
      </c>
      <c r="C39" s="9" t="inlineStr">
        <is>
          <t>Now</t>
        </is>
      </c>
      <c r="D39" s="9" t="inlineStr">
        <is>
          <t>+3 months</t>
        </is>
      </c>
      <c r="E39" s="9" t="inlineStr">
        <is>
          <t>+6 months</t>
        </is>
      </c>
      <c r="F39" s="9" t="inlineStr">
        <is>
          <t>+12 months</t>
        </is>
      </c>
    </row>
    <row r="40">
      <c r="B40" s="5" t="inlineStr">
        <is>
          <t>Cold accounts</t>
        </is>
      </c>
      <c r="C40" s="6" t="n">
        <v>112</v>
      </c>
      <c r="D40" s="6" t="n">
        <v>80</v>
      </c>
      <c r="E40" s="6" t="n">
        <v>60</v>
      </c>
      <c r="F40" s="6" t="n">
        <v>50</v>
      </c>
    </row>
    <row r="41">
      <c r="B41" s="5" t="inlineStr">
        <is>
          <t>Established contact</t>
        </is>
      </c>
      <c r="C41" s="6" t="n">
        <v>41</v>
      </c>
      <c r="D41" s="6" t="n">
        <v>48</v>
      </c>
      <c r="E41" s="6" t="n">
        <v>43</v>
      </c>
      <c r="F41" s="6" t="n">
        <v>28</v>
      </c>
    </row>
    <row r="42">
      <c r="B42" s="5" t="inlineStr">
        <is>
          <t>Substantive meetings</t>
        </is>
      </c>
      <c r="C42" s="6" t="n">
        <v>10</v>
      </c>
      <c r="D42" s="6" t="n">
        <v>20</v>
      </c>
      <c r="E42" s="6" t="n">
        <v>30</v>
      </c>
      <c r="F42" s="6" t="n">
        <v>40</v>
      </c>
    </row>
    <row r="43">
      <c r="B43" s="5" t="inlineStr">
        <is>
          <t>In negotiation</t>
        </is>
      </c>
      <c r="C43" s="6" t="n">
        <v>28</v>
      </c>
      <c r="D43" s="6" t="n">
        <v>38</v>
      </c>
      <c r="E43" s="6" t="n">
        <v>48</v>
      </c>
      <c r="F43" s="6" t="n">
        <v>58</v>
      </c>
    </row>
    <row r="44">
      <c r="B44" s="5" t="inlineStr">
        <is>
          <t>New contracts</t>
        </is>
      </c>
      <c r="C44" s="6" t="n">
        <v>0</v>
      </c>
      <c r="D44" s="6" t="n">
        <v>5</v>
      </c>
      <c r="E44" s="6" t="n">
        <v>10</v>
      </c>
      <c r="F44" s="6" t="n">
        <v>15</v>
      </c>
    </row>
    <row r="45">
      <c r="B45" s="16" t="inlineStr">
        <is>
          <t>Total accounts in cohort</t>
        </is>
      </c>
      <c r="C45" s="17">
        <f>SUM(C40:C44)</f>
        <v/>
      </c>
      <c r="D45" s="17">
        <f>SUM(D40:D44)</f>
        <v/>
      </c>
      <c r="E45" s="17">
        <f>SUM(E40:E44)</f>
        <v/>
      </c>
      <c r="F45" s="17">
        <f>SUM(F40:F44)</f>
        <v/>
      </c>
    </row>
    <row r="47">
      <c r="B47" s="18" t="inlineStr">
        <is>
          <t>Adapted from a training originally delivered in Russian; illustrative figures only. See the Module 4 notes page for the worked JLL case study and definitions of each metric.</t>
        </is>
      </c>
    </row>
  </sheetData>
  <mergeCells count="3">
    <mergeCell ref="B2:F2"/>
    <mergeCell ref="B3:F3"/>
    <mergeCell ref="B47:F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2026-07-22T16:54:06Z</dcterms:created>
  <dcterms:modified xmlns:dcterms="http://purl.org/dc/terms/" xmlns:xsi="http://www.w3.org/2001/XMLSchema-instance" xsi:type="dcterms:W3CDTF">2026-07-22T16:54:06Z</dcterms:modified>
</cp:coreProperties>
</file>